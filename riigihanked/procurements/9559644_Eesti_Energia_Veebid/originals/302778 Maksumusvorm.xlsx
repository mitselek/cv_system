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U:\Hanked\2025 hanked\302778 Veebide arendus - ja hooldustööd\RHAD\"/>
    </mc:Choice>
  </mc:AlternateContent>
  <xr:revisionPtr revIDLastSave="0" documentId="13_ncr:1_{3E80F5D5-D906-48CF-9ED9-876949871EF6}" xr6:coauthVersionLast="47" xr6:coauthVersionMax="47" xr10:uidLastSave="{00000000-0000-0000-0000-000000000000}"/>
  <bookViews>
    <workbookView xWindow="38280" yWindow="-120" windowWidth="38640" windowHeight="21120" xr2:uid="{00000000-000D-0000-FFFF-FFFF00000000}"/>
  </bookViews>
  <sheets>
    <sheet name="Pakkumuse maksumu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2" l="1"/>
  <c r="G32" i="2"/>
  <c r="G29" i="2"/>
  <c r="G30" i="2"/>
  <c r="G31" i="2"/>
  <c r="G33" i="2" l="1"/>
</calcChain>
</file>

<file path=xl/sharedStrings.xml><?xml version="1.0" encoding="utf-8"?>
<sst xmlns="http://schemas.openxmlformats.org/spreadsheetml/2006/main" count="36" uniqueCount="33">
  <si>
    <t>Nr</t>
  </si>
  <si>
    <t>1.</t>
  </si>
  <si>
    <t>2.</t>
  </si>
  <si>
    <t>Kinnitame pakkumust esitades, et:</t>
  </si>
  <si>
    <t>Ühik</t>
  </si>
  <si>
    <t>Maksumus kokku/
 € km-ta</t>
  </si>
  <si>
    <t>&lt;- Summa sisestada registrivormile</t>
  </si>
  <si>
    <t>Pakkumuse maksumuse vorm</t>
  </si>
  <si>
    <t>Nimetus</t>
  </si>
  <si>
    <r>
      <t>Hinnaloendi tabelisse on pakkumuse koostamise hõlbustamiseks juba sisestatud arvutusvalemid. Siiski ei garanteeri hankija nende õigsust ning toimivust ja pakkumuse koostaja on kohustatud arvutusvalemid ise kontrollima ja vajadusel korrigeerima. Täidetud hinnaloendisiseste aritmeetiliste vigade avastamisel ja korrigeerimisel toimib hankija vastavalt RHS § 117</t>
    </r>
    <r>
      <rPr>
        <sz val="11"/>
        <color rgb="FF00B050"/>
        <rFont val="Arial"/>
        <family val="2"/>
      </rPr>
      <t xml:space="preserve"> </t>
    </r>
    <r>
      <rPr>
        <sz val="11"/>
        <rFont val="Arial"/>
        <family val="2"/>
      </rPr>
      <t>lg 3.</t>
    </r>
  </si>
  <si>
    <t>Pakkuja</t>
  </si>
  <si>
    <t>Pakkuja aadress</t>
  </si>
  <si>
    <t>Pakkuja registrikood</t>
  </si>
  <si>
    <t>Pakkuja telefon</t>
  </si>
  <si>
    <t>Pakkuja e-post</t>
  </si>
  <si>
    <t>Lepingu allkirjastaja (ees- ja perekonnanimi), esindamise alus (põhikirja või volikirja alusel ja ametikoht)</t>
  </si>
  <si>
    <r>
      <t xml:space="preserve">Pakkujal on kohustus täita kõik halliga tähistatud lahtrid. </t>
    </r>
    <r>
      <rPr>
        <i/>
        <u/>
        <sz val="11"/>
        <rFont val="Arial"/>
        <family val="2"/>
      </rPr>
      <t>Pakkujal ei ole õigust käesoleval vormil teha olulisi muudatusi.</t>
    </r>
    <r>
      <rPr>
        <i/>
        <u/>
        <sz val="11"/>
        <color theme="1"/>
        <rFont val="Arial"/>
        <family val="2"/>
      </rPr>
      <t xml:space="preserve"> Pakkija võib vajadusel lisada maksumusvormi juurde ridu, kuid peab jälgima, et muudatused kajastuskid sisestatud valemis.</t>
    </r>
  </si>
  <si>
    <r>
      <t>1) pakkumuse maksumus sisaldab kõiki tehnilises kirjelduses või teistes riigihanke alusdokumentides sätestatud teenuse</t>
    </r>
    <r>
      <rPr>
        <sz val="11"/>
        <rFont val="Arial"/>
        <family val="2"/>
      </rPr>
      <t>/toote</t>
    </r>
    <r>
      <rPr>
        <sz val="11"/>
        <rFont val="Arial"/>
        <family val="2"/>
        <charset val="186"/>
      </rPr>
      <t xml:space="preserve"> maksumust ja kulutusi, sealhulgas ka neid, mis ei ole hinnapakkumuse tabelis eraldi välja toodud;
2) pakkumus vastab kõikidele riiigihanke alusdokumentides esitatud tingimustele;
3) pakkumuse maksumuses sisalduvad kõik seadusest tulenevad maksud (v.a. käibemaks);
4) </t>
    </r>
    <r>
      <rPr>
        <sz val="11"/>
        <rFont val="Arial"/>
        <family val="2"/>
      </rPr>
      <t xml:space="preserve">meil on olemas kõik vajalikud ressursid ja vahendid, et lähtuvalt riigihanke alusdokumentides sätestatust osutada antud teenust/toodet;
</t>
    </r>
    <r>
      <rPr>
        <sz val="11"/>
        <rFont val="Arial"/>
        <family val="2"/>
        <charset val="186"/>
      </rPr>
      <t xml:space="preserve">5) oleme saanud hankijalt käesoleva pakkumuse koostamiseks vajaliku informatsiooni ning oleme tutvunud kõikide seonduvate asjaolude ning tingimustega;
6) oleme kontrollinud ning veendunud, et hankija poolt koostatud riigihanke alusdokumentides ei ole olulisi vigu ega puudusi, mis takistaks siduva pakkumuse esitamist;
7) nõustume riigihanke alusdokumentides sätestatud tingimustega ning anname endale täielikult aru vastutusest ning kohustuste mahust.
8) pakutavate toodete maskumus esitada täpsusega kaks kohta peale koma. </t>
    </r>
  </si>
  <si>
    <t>h</t>
  </si>
  <si>
    <t>Arendusteenuse tunnihind</t>
  </si>
  <si>
    <t>kuu</t>
  </si>
  <si>
    <t>Kogus</t>
  </si>
  <si>
    <t>3.</t>
  </si>
  <si>
    <t>4.</t>
  </si>
  <si>
    <t>5.</t>
  </si>
  <si>
    <t>Igakuine veebilehe www.eans.ee hooldusteenuse tasu</t>
  </si>
  <si>
    <t>Igakuine veebilehe aim.eans.ee hooldusteenuse tasu</t>
  </si>
  <si>
    <t>Igakuine veebilehe siseveeb.eans.ee hooldusteenuse tasu</t>
  </si>
  <si>
    <t>1 kuu/1 tunni maksumus</t>
  </si>
  <si>
    <t>Igakuine lennujuhtimise infosüsteemi hooldusteenuse tasu</t>
  </si>
  <si>
    <r>
      <t>Hankija: Lennuliiklusteeninduse AS
Riigihan</t>
    </r>
    <r>
      <rPr>
        <sz val="11"/>
        <rFont val="Arial"/>
        <family val="2"/>
      </rPr>
      <t>k</t>
    </r>
    <r>
      <rPr>
        <sz val="11"/>
        <color theme="1"/>
        <rFont val="Arial"/>
        <family val="2"/>
        <charset val="186"/>
      </rPr>
      <t xml:space="preserve">e nimetus: Veebide arendus - ja hooldustööd
Riigihanke viitenumber: 302778
 </t>
    </r>
  </si>
  <si>
    <t>Pakkuja lepinguline kontaktisik (ees- ja perekonnanimi) ja tema kontaktandmed (telefon ja e-mail) (lepingu punkt 15.5.)</t>
  </si>
  <si>
    <t>Lepingu kontaktisikud on volitatud teostama tegevusi (lepingu punkt 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</si>
</sst>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 &quot;€&quot;"/>
  </numFmts>
  <fonts count="15" x14ac:knownFonts="1">
    <font>
      <sz val="11"/>
      <color theme="1"/>
      <name val="Calibri"/>
      <family val="2"/>
      <charset val="186"/>
      <scheme val="minor"/>
    </font>
    <font>
      <sz val="11"/>
      <color theme="1"/>
      <name val="Calibri"/>
      <family val="2"/>
      <charset val="186"/>
      <scheme val="minor"/>
    </font>
    <font>
      <sz val="11"/>
      <color theme="1"/>
      <name val="Arial"/>
      <family val="2"/>
      <charset val="186"/>
    </font>
    <font>
      <b/>
      <sz val="11"/>
      <color theme="1"/>
      <name val="Arial"/>
      <family val="2"/>
      <charset val="186"/>
    </font>
    <font>
      <sz val="11"/>
      <name val="Arial"/>
      <family val="2"/>
      <charset val="186"/>
    </font>
    <font>
      <sz val="11"/>
      <color rgb="FF000000"/>
      <name val="Arial"/>
      <family val="2"/>
      <charset val="186"/>
    </font>
    <font>
      <b/>
      <sz val="11"/>
      <color rgb="FF000000"/>
      <name val="Arial"/>
      <family val="2"/>
      <charset val="186"/>
    </font>
    <font>
      <b/>
      <i/>
      <sz val="11"/>
      <name val="Arial"/>
      <family val="2"/>
      <charset val="186"/>
    </font>
    <font>
      <b/>
      <sz val="11"/>
      <name val="Arial"/>
      <family val="2"/>
      <charset val="186"/>
    </font>
    <font>
      <sz val="9"/>
      <name val="Tahoma"/>
      <family val="2"/>
      <charset val="186"/>
    </font>
    <font>
      <i/>
      <u/>
      <sz val="11"/>
      <color theme="1"/>
      <name val="Arial"/>
      <family val="2"/>
    </font>
    <font>
      <sz val="11"/>
      <color rgb="FF00B050"/>
      <name val="Arial"/>
      <family val="2"/>
    </font>
    <font>
      <sz val="11"/>
      <name val="Arial"/>
      <family val="2"/>
    </font>
    <font>
      <i/>
      <u/>
      <sz val="11"/>
      <name val="Arial"/>
      <family val="2"/>
    </font>
    <font>
      <sz val="11"/>
      <name val="Arial"/>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8" tint="0.59999389629810485"/>
        <bgColor rgb="FFD9D9D9"/>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51">
    <xf numFmtId="0" fontId="0" fillId="0" borderId="0" xfId="0"/>
    <xf numFmtId="0" fontId="2" fillId="0" borderId="0" xfId="0" applyFont="1" applyAlignment="1">
      <alignment vertical="top"/>
    </xf>
    <xf numFmtId="0" fontId="3" fillId="0" borderId="0" xfId="0" applyFont="1" applyAlignment="1">
      <alignment vertical="top"/>
    </xf>
    <xf numFmtId="0" fontId="5" fillId="0" borderId="1"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4" fillId="0" borderId="0" xfId="0" applyFont="1"/>
    <xf numFmtId="0" fontId="8" fillId="0" borderId="0" xfId="0" applyFont="1" applyAlignment="1">
      <alignment horizontal="right" vertical="center"/>
    </xf>
    <xf numFmtId="0" fontId="8" fillId="0" borderId="0" xfId="0" applyFont="1" applyAlignment="1">
      <alignment horizontal="right"/>
    </xf>
    <xf numFmtId="0" fontId="8" fillId="0" borderId="0" xfId="0" applyFont="1"/>
    <xf numFmtId="0" fontId="5" fillId="0" borderId="3" xfId="0" applyFont="1" applyBorder="1" applyAlignment="1">
      <alignment horizontal="center" vertical="center"/>
    </xf>
    <xf numFmtId="164" fontId="4" fillId="0" borderId="1" xfId="1" applyNumberFormat="1" applyFont="1" applyFill="1" applyBorder="1" applyAlignment="1">
      <alignment horizontal="center"/>
    </xf>
    <xf numFmtId="0" fontId="5" fillId="2" borderId="1" xfId="0" applyFont="1" applyFill="1" applyBorder="1" applyAlignment="1">
      <alignment horizontal="center" vertical="top" wrapText="1"/>
    </xf>
    <xf numFmtId="164" fontId="3" fillId="3" borderId="2" xfId="0" applyNumberFormat="1" applyFont="1" applyFill="1" applyBorder="1" applyAlignment="1">
      <alignment horizontal="center"/>
    </xf>
    <xf numFmtId="0" fontId="9" fillId="0" borderId="0" xfId="0" applyFont="1"/>
    <xf numFmtId="0" fontId="5" fillId="0" borderId="0" xfId="0" applyFont="1" applyAlignment="1">
      <alignment horizontal="center" vertical="center"/>
    </xf>
    <xf numFmtId="44" fontId="6" fillId="0" borderId="0" xfId="0" applyNumberFormat="1" applyFont="1" applyAlignment="1">
      <alignment horizontal="right" wrapText="1"/>
    </xf>
    <xf numFmtId="0" fontId="8" fillId="4" borderId="1" xfId="0" applyFont="1" applyFill="1" applyBorder="1" applyAlignment="1">
      <alignment horizontal="left"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164" fontId="4" fillId="6" borderId="1" xfId="1" applyNumberFormat="1" applyFont="1" applyFill="1" applyBorder="1" applyAlignment="1">
      <alignment horizontal="center"/>
    </xf>
    <xf numFmtId="0" fontId="5" fillId="0" borderId="0" xfId="0" applyFont="1" applyAlignment="1">
      <alignment vertical="center"/>
    </xf>
    <xf numFmtId="0" fontId="2" fillId="0" borderId="0" xfId="0" applyFont="1" applyAlignment="1">
      <alignment horizontal="center" vertical="center"/>
    </xf>
    <xf numFmtId="0" fontId="5" fillId="0" borderId="1" xfId="0" applyFont="1" applyBorder="1" applyAlignment="1">
      <alignment vertical="top" wrapText="1"/>
    </xf>
    <xf numFmtId="0" fontId="8" fillId="5" borderId="1" xfId="0" applyFont="1" applyFill="1" applyBorder="1" applyAlignment="1">
      <alignment horizontal="center" vertical="center" wrapText="1"/>
    </xf>
    <xf numFmtId="164" fontId="4" fillId="6" borderId="3" xfId="1" applyNumberFormat="1" applyFont="1" applyFill="1" applyBorder="1" applyAlignment="1">
      <alignment horizontal="center"/>
    </xf>
    <xf numFmtId="164" fontId="4" fillId="0" borderId="7" xfId="1" applyNumberFormat="1" applyFont="1" applyFill="1" applyBorder="1" applyAlignment="1">
      <alignment horizontal="center"/>
    </xf>
    <xf numFmtId="164" fontId="14" fillId="0" borderId="1" xfId="1" applyNumberFormat="1" applyFont="1" applyBorder="1" applyAlignment="1">
      <alignment horizont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3" fillId="0" borderId="6" xfId="0" applyFont="1" applyBorder="1" applyAlignment="1">
      <alignment horizontal="left"/>
    </xf>
    <xf numFmtId="0" fontId="2" fillId="0" borderId="0" xfId="0" applyFont="1" applyAlignment="1">
      <alignment horizontal="left"/>
    </xf>
    <xf numFmtId="0" fontId="4" fillId="0" borderId="3" xfId="0" applyFont="1" applyBorder="1" applyAlignment="1">
      <alignment horizontal="left" vertical="top" wrapText="1"/>
    </xf>
    <xf numFmtId="0" fontId="2" fillId="0" borderId="5" xfId="0" applyFont="1" applyBorder="1" applyAlignment="1">
      <alignment vertical="top"/>
    </xf>
    <xf numFmtId="0" fontId="2" fillId="0" borderId="4" xfId="0" applyFont="1" applyBorder="1" applyAlignment="1">
      <alignment vertical="top"/>
    </xf>
    <xf numFmtId="0" fontId="2" fillId="6" borderId="1"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8" fillId="4" borderId="3" xfId="0" applyFont="1" applyFill="1" applyBorder="1" applyAlignment="1">
      <alignment horizontal="left" vertical="center"/>
    </xf>
    <xf numFmtId="0" fontId="4" fillId="4" borderId="4" xfId="0" applyFont="1" applyFill="1" applyBorder="1" applyAlignment="1">
      <alignment horizontal="left" vertical="center"/>
    </xf>
    <xf numFmtId="0" fontId="4" fillId="0" borderId="3" xfId="0" applyFont="1" applyBorder="1" applyAlignment="1">
      <alignment vertical="top" wrapText="1"/>
    </xf>
    <xf numFmtId="0" fontId="4" fillId="0" borderId="4" xfId="0" applyFont="1" applyBorder="1" applyAlignment="1">
      <alignment vertical="top" wrapText="1"/>
    </xf>
    <xf numFmtId="0" fontId="5" fillId="0" borderId="3" xfId="0" applyFont="1" applyBorder="1" applyAlignment="1">
      <alignment vertical="top" wrapText="1"/>
    </xf>
    <xf numFmtId="0" fontId="5" fillId="0" borderId="4" xfId="0" applyFont="1" applyBorder="1" applyAlignment="1">
      <alignment vertical="top" wrapText="1"/>
    </xf>
    <xf numFmtId="0" fontId="4" fillId="0" borderId="5" xfId="0" applyFont="1" applyBorder="1" applyAlignment="1">
      <alignment horizontal="left" vertical="top" wrapText="1"/>
    </xf>
    <xf numFmtId="0" fontId="4" fillId="0" borderId="4" xfId="0" applyFont="1" applyBorder="1" applyAlignment="1">
      <alignment horizontal="left" vertical="top" wrapText="1"/>
    </xf>
    <xf numFmtId="0" fontId="2" fillId="0" borderId="0" xfId="0" applyFont="1" applyAlignment="1">
      <alignment horizontal="center" vertical="top"/>
    </xf>
    <xf numFmtId="0" fontId="10" fillId="0" borderId="0" xfId="0" applyFont="1" applyAlignment="1">
      <alignment horizontal="left" vertical="top" wrapText="1"/>
    </xf>
    <xf numFmtId="0" fontId="2" fillId="0" borderId="0" xfId="0" applyFont="1" applyAlignment="1">
      <alignment horizontal="left" vertical="top" wrapText="1"/>
    </xf>
    <xf numFmtId="0" fontId="14" fillId="0" borderId="3" xfId="0" applyFont="1" applyBorder="1" applyAlignment="1">
      <alignment vertical="top" wrapText="1"/>
    </xf>
    <xf numFmtId="0" fontId="14" fillId="0" borderId="4" xfId="0" applyFont="1" applyBorder="1" applyAlignment="1">
      <alignmen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159546</xdr:colOff>
      <xdr:row>1</xdr:row>
      <xdr:rowOff>85726</xdr:rowOff>
    </xdr:from>
    <xdr:to>
      <xdr:col>1</xdr:col>
      <xdr:colOff>2495549</xdr:colOff>
      <xdr:row>6</xdr:row>
      <xdr:rowOff>7755</xdr:rowOff>
    </xdr:to>
    <xdr:pic>
      <xdr:nvPicPr>
        <xdr:cNvPr id="2" name="Pilt 1">
          <a:extLst>
            <a:ext uri="{FF2B5EF4-FFF2-40B4-BE49-F238E27FC236}">
              <a16:creationId xmlns:a16="http://schemas.microsoft.com/office/drawing/2014/main" id="{17CA8E91-ABA7-6A52-A45E-B1F0EC51D48E}"/>
            </a:ext>
          </a:extLst>
        </xdr:cNvPr>
        <xdr:cNvPicPr>
          <a:picLocks noChangeAspect="1"/>
        </xdr:cNvPicPr>
      </xdr:nvPicPr>
      <xdr:blipFill>
        <a:blip xmlns:r="http://schemas.openxmlformats.org/officeDocument/2006/relationships" r:embed="rId1"/>
        <a:stretch>
          <a:fillRect/>
        </a:stretch>
      </xdr:blipFill>
      <xdr:spPr>
        <a:xfrm>
          <a:off x="597696" y="266701"/>
          <a:ext cx="2336003" cy="8269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1"/>
  <sheetViews>
    <sheetView tabSelected="1" zoomScaleNormal="100" workbookViewId="0">
      <selection activeCell="Q10" sqref="Q10"/>
    </sheetView>
  </sheetViews>
  <sheetFormatPr defaultColWidth="9.140625" defaultRowHeight="14.25" x14ac:dyDescent="0.25"/>
  <cols>
    <col min="1" max="1" width="6.5703125" style="1" customWidth="1"/>
    <col min="2" max="2" width="40.85546875" style="1" customWidth="1"/>
    <col min="3" max="3" width="16.42578125" style="1" customWidth="1"/>
    <col min="4" max="4" width="12.85546875" style="1" customWidth="1"/>
    <col min="5" max="5" width="15.85546875" style="1" customWidth="1"/>
    <col min="6" max="6" width="25.42578125" style="1" customWidth="1"/>
    <col min="7" max="7" width="21.28515625" style="1" customWidth="1"/>
    <col min="8" max="16384" width="9.140625" style="1"/>
  </cols>
  <sheetData>
    <row r="2" spans="2:6" x14ac:dyDescent="0.25">
      <c r="B2" s="46"/>
    </row>
    <row r="3" spans="2:6" x14ac:dyDescent="0.25">
      <c r="B3" s="46"/>
    </row>
    <row r="4" spans="2:6" x14ac:dyDescent="0.25">
      <c r="B4" s="46"/>
    </row>
    <row r="5" spans="2:6" x14ac:dyDescent="0.25">
      <c r="B5" s="46"/>
    </row>
    <row r="6" spans="2:6" x14ac:dyDescent="0.25">
      <c r="B6" s="46"/>
    </row>
    <row r="8" spans="2:6" ht="15" customHeight="1" x14ac:dyDescent="0.25">
      <c r="B8" s="48" t="s">
        <v>30</v>
      </c>
      <c r="C8" s="48"/>
      <c r="D8" s="48"/>
      <c r="E8" s="48"/>
    </row>
    <row r="9" spans="2:6" ht="15" customHeight="1" x14ac:dyDescent="0.25">
      <c r="B9" s="48"/>
      <c r="C9" s="48"/>
      <c r="D9" s="48"/>
      <c r="E9" s="48"/>
    </row>
    <row r="10" spans="2:6" x14ac:dyDescent="0.25">
      <c r="B10" s="48"/>
      <c r="C10" s="48"/>
      <c r="D10" s="48"/>
      <c r="E10" s="48"/>
    </row>
    <row r="11" spans="2:6" x14ac:dyDescent="0.25">
      <c r="B11" s="48"/>
      <c r="C11" s="48"/>
      <c r="D11" s="48"/>
      <c r="E11" s="48"/>
    </row>
    <row r="13" spans="2:6" ht="15" x14ac:dyDescent="0.25">
      <c r="B13" s="2" t="s">
        <v>7</v>
      </c>
    </row>
    <row r="14" spans="2:6" ht="15" x14ac:dyDescent="0.25">
      <c r="B14" s="2"/>
    </row>
    <row r="15" spans="2:6" ht="45" customHeight="1" x14ac:dyDescent="0.25">
      <c r="B15" s="47" t="s">
        <v>16</v>
      </c>
      <c r="C15" s="47"/>
      <c r="D15" s="47"/>
      <c r="E15" s="47"/>
      <c r="F15" s="47"/>
    </row>
    <row r="17" spans="1:7" ht="15" customHeight="1" x14ac:dyDescent="0.25">
      <c r="B17" s="3" t="s">
        <v>10</v>
      </c>
      <c r="C17" s="35"/>
      <c r="D17" s="35"/>
    </row>
    <row r="18" spans="1:7" ht="15" customHeight="1" x14ac:dyDescent="0.25">
      <c r="B18" s="3" t="s">
        <v>11</v>
      </c>
      <c r="C18" s="35"/>
      <c r="D18" s="35"/>
    </row>
    <row r="19" spans="1:7" ht="15" customHeight="1" x14ac:dyDescent="0.25">
      <c r="B19" s="3" t="s">
        <v>12</v>
      </c>
      <c r="C19" s="35"/>
      <c r="D19" s="35"/>
    </row>
    <row r="20" spans="1:7" ht="15" customHeight="1" x14ac:dyDescent="0.25">
      <c r="B20" s="3" t="s">
        <v>13</v>
      </c>
      <c r="C20" s="36"/>
      <c r="D20" s="37"/>
    </row>
    <row r="21" spans="1:7" ht="15" customHeight="1" x14ac:dyDescent="0.25">
      <c r="B21" s="3" t="s">
        <v>14</v>
      </c>
      <c r="C21" s="36"/>
      <c r="D21" s="37"/>
    </row>
    <row r="22" spans="1:7" ht="49.9" customHeight="1" x14ac:dyDescent="0.25">
      <c r="B22" s="23" t="s">
        <v>31</v>
      </c>
      <c r="C22" s="36"/>
      <c r="D22" s="37"/>
    </row>
    <row r="23" spans="1:7" ht="28.5" x14ac:dyDescent="0.25">
      <c r="B23" s="23" t="s">
        <v>32</v>
      </c>
      <c r="C23" s="28"/>
      <c r="D23" s="29"/>
    </row>
    <row r="24" spans="1:7" ht="46.9" customHeight="1" x14ac:dyDescent="0.25">
      <c r="B24" s="23" t="s">
        <v>15</v>
      </c>
      <c r="C24" s="36"/>
      <c r="D24" s="37"/>
    </row>
    <row r="25" spans="1:7" ht="15" customHeight="1" x14ac:dyDescent="0.25">
      <c r="B25" s="21"/>
      <c r="C25" s="22"/>
      <c r="D25" s="22"/>
    </row>
    <row r="27" spans="1:7" ht="59.25" customHeight="1" x14ac:dyDescent="0.25">
      <c r="A27" s="17" t="s">
        <v>0</v>
      </c>
      <c r="B27" s="38" t="s">
        <v>8</v>
      </c>
      <c r="C27" s="39"/>
      <c r="D27" s="18" t="s">
        <v>4</v>
      </c>
      <c r="E27" s="24" t="s">
        <v>21</v>
      </c>
      <c r="F27" s="24" t="s">
        <v>28</v>
      </c>
      <c r="G27" s="19" t="s">
        <v>5</v>
      </c>
    </row>
    <row r="28" spans="1:7" x14ac:dyDescent="0.2">
      <c r="A28" s="12" t="s">
        <v>1</v>
      </c>
      <c r="B28" s="40" t="s">
        <v>25</v>
      </c>
      <c r="C28" s="41"/>
      <c r="D28" s="10" t="s">
        <v>20</v>
      </c>
      <c r="E28" s="10">
        <v>1</v>
      </c>
      <c r="F28" s="20">
        <v>0</v>
      </c>
      <c r="G28" s="11">
        <f>(E28*F28)*36</f>
        <v>0</v>
      </c>
    </row>
    <row r="29" spans="1:7" x14ac:dyDescent="0.2">
      <c r="A29" s="12" t="s">
        <v>2</v>
      </c>
      <c r="B29" s="49" t="s">
        <v>26</v>
      </c>
      <c r="C29" s="50"/>
      <c r="D29" s="10" t="s">
        <v>20</v>
      </c>
      <c r="E29" s="10">
        <v>1</v>
      </c>
      <c r="F29" s="20">
        <v>0</v>
      </c>
      <c r="G29" s="11">
        <f>(E29*F29)*36</f>
        <v>0</v>
      </c>
    </row>
    <row r="30" spans="1:7" x14ac:dyDescent="0.2">
      <c r="A30" s="12" t="s">
        <v>22</v>
      </c>
      <c r="B30" s="49" t="s">
        <v>27</v>
      </c>
      <c r="C30" s="50"/>
      <c r="D30" s="10" t="s">
        <v>20</v>
      </c>
      <c r="E30" s="10">
        <v>1</v>
      </c>
      <c r="F30" s="20">
        <v>0</v>
      </c>
      <c r="G30" s="11">
        <f>(E30*F30)*36</f>
        <v>0</v>
      </c>
    </row>
    <row r="31" spans="1:7" x14ac:dyDescent="0.2">
      <c r="A31" s="12" t="s">
        <v>23</v>
      </c>
      <c r="B31" s="49" t="s">
        <v>29</v>
      </c>
      <c r="C31" s="50"/>
      <c r="D31" s="10" t="s">
        <v>20</v>
      </c>
      <c r="E31" s="10">
        <v>1</v>
      </c>
      <c r="F31" s="25">
        <v>0</v>
      </c>
      <c r="G31" s="27">
        <f>(E31*F31)*36</f>
        <v>0</v>
      </c>
    </row>
    <row r="32" spans="1:7" ht="15" thickBot="1" x14ac:dyDescent="0.25">
      <c r="A32" s="12" t="s">
        <v>24</v>
      </c>
      <c r="B32" s="42" t="s">
        <v>19</v>
      </c>
      <c r="C32" s="43"/>
      <c r="D32" s="10" t="s">
        <v>18</v>
      </c>
      <c r="E32" s="10">
        <v>1</v>
      </c>
      <c r="F32" s="20">
        <v>0</v>
      </c>
      <c r="G32" s="26">
        <f>E32*F32</f>
        <v>0</v>
      </c>
    </row>
    <row r="33" spans="1:11" ht="28.5" customHeight="1" thickBot="1" x14ac:dyDescent="0.3">
      <c r="A33"/>
      <c r="B33"/>
      <c r="C33"/>
      <c r="D33"/>
      <c r="E33"/>
      <c r="F33"/>
      <c r="G33" s="13">
        <f>SUM(G28:G32)</f>
        <v>0</v>
      </c>
      <c r="H33" s="30" t="s">
        <v>6</v>
      </c>
      <c r="I33" s="31"/>
      <c r="J33" s="31"/>
      <c r="K33" s="31"/>
    </row>
    <row r="35" spans="1:11" ht="26.25" customHeight="1" x14ac:dyDescent="0.25">
      <c r="B35" s="4" t="s">
        <v>3</v>
      </c>
      <c r="C35" s="4"/>
      <c r="D35" s="5"/>
      <c r="E35" s="5"/>
      <c r="F35" s="5"/>
      <c r="G35" s="5"/>
    </row>
    <row r="36" spans="1:11" ht="165.75" customHeight="1" x14ac:dyDescent="0.25">
      <c r="B36" s="32" t="s">
        <v>17</v>
      </c>
      <c r="C36" s="33"/>
      <c r="D36" s="33"/>
      <c r="E36" s="33"/>
      <c r="F36" s="33"/>
      <c r="G36" s="34"/>
    </row>
    <row r="37" spans="1:11" ht="15" x14ac:dyDescent="0.25">
      <c r="B37" s="6"/>
      <c r="C37" s="7"/>
      <c r="D37" s="5"/>
      <c r="E37" s="5"/>
      <c r="F37" s="7"/>
      <c r="G37" s="8"/>
    </row>
    <row r="38" spans="1:11" ht="56.45" customHeight="1" x14ac:dyDescent="0.25">
      <c r="B38" s="32" t="s">
        <v>9</v>
      </c>
      <c r="C38" s="44"/>
      <c r="D38" s="44"/>
      <c r="E38" s="44"/>
      <c r="F38" s="44"/>
      <c r="G38" s="45"/>
    </row>
    <row r="39" spans="1:11" s="14" customFormat="1" ht="15" x14ac:dyDescent="0.25">
      <c r="A39" s="1"/>
      <c r="B39" s="4"/>
      <c r="C39" s="4"/>
      <c r="D39" s="15"/>
      <c r="E39" s="15"/>
      <c r="F39" s="15"/>
      <c r="G39" s="16"/>
      <c r="H39" s="16"/>
    </row>
    <row r="40" spans="1:11" s="14" customFormat="1" x14ac:dyDescent="0.2">
      <c r="A40" s="1"/>
      <c r="B40" s="6"/>
      <c r="C40" s="6"/>
      <c r="D40" s="6"/>
      <c r="E40" s="6"/>
      <c r="F40" s="6"/>
      <c r="G40" s="6"/>
      <c r="H40" s="6"/>
    </row>
    <row r="41" spans="1:11" s="14" customFormat="1" ht="15" x14ac:dyDescent="0.25">
      <c r="A41" s="1"/>
      <c r="B41" s="9"/>
      <c r="C41" s="9"/>
      <c r="D41" s="6"/>
      <c r="E41" s="6"/>
      <c r="F41" s="6"/>
      <c r="G41" s="6"/>
      <c r="H41" s="6"/>
    </row>
  </sheetData>
  <mergeCells count="19">
    <mergeCell ref="B38:G38"/>
    <mergeCell ref="B2:B6"/>
    <mergeCell ref="B15:F15"/>
    <mergeCell ref="B8:E11"/>
    <mergeCell ref="B29:C29"/>
    <mergeCell ref="B30:C30"/>
    <mergeCell ref="B31:C31"/>
    <mergeCell ref="H33:K33"/>
    <mergeCell ref="B36:G36"/>
    <mergeCell ref="C17:D17"/>
    <mergeCell ref="C19:D19"/>
    <mergeCell ref="C18:D18"/>
    <mergeCell ref="C20:D20"/>
    <mergeCell ref="C21:D21"/>
    <mergeCell ref="C22:D22"/>
    <mergeCell ref="C24:D24"/>
    <mergeCell ref="B27:C27"/>
    <mergeCell ref="B28:C28"/>
    <mergeCell ref="B32:C32"/>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096292C3BBAC44ADFB7699C654D0A7" ma:contentTypeVersion="4" ma:contentTypeDescription="Create a new document." ma:contentTypeScope="" ma:versionID="50c2acb3707c8d469bbfcc4f74d8d82a">
  <xsd:schema xmlns:xsd="http://www.w3.org/2001/XMLSchema" xmlns:xs="http://www.w3.org/2001/XMLSchema" xmlns:p="http://schemas.microsoft.com/office/2006/metadata/properties" xmlns:ns2="9ee22651-9d95-44ca-857d-e30fc2a0da57" targetNamespace="http://schemas.microsoft.com/office/2006/metadata/properties" ma:root="true" ma:fieldsID="9b3b7b625842e4d8dfe5bd2af49c5af0" ns2:_="">
    <xsd:import namespace="9ee22651-9d95-44ca-857d-e30fc2a0da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e22651-9d95-44ca-857d-e30fc2a0da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DDE6BD-D034-4592-AB8F-69CE99F8F9C7}">
  <ds:schemaRefs>
    <ds:schemaRef ds:uri="http://schemas.microsoft.com/office/2006/documentManagement/types"/>
    <ds:schemaRef ds:uri="http://purl.org/dc/terms/"/>
    <ds:schemaRef ds:uri="http://schemas.microsoft.com/office/infopath/2007/PartnerControls"/>
    <ds:schemaRef ds:uri="http://schemas.microsoft.com/office/2006/metadata/properties"/>
    <ds:schemaRef ds:uri="9ee22651-9d95-44ca-857d-e30fc2a0da57"/>
    <ds:schemaRef ds:uri="http://schemas.openxmlformats.org/package/2006/metadata/core-properties"/>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1A2E2BE3-3051-427A-ACFF-92F01E6D9805}">
  <ds:schemaRefs>
    <ds:schemaRef ds:uri="http://schemas.microsoft.com/sharepoint/v3/contenttype/forms"/>
  </ds:schemaRefs>
</ds:datastoreItem>
</file>

<file path=customXml/itemProps3.xml><?xml version="1.0" encoding="utf-8"?>
<ds:datastoreItem xmlns:ds="http://schemas.openxmlformats.org/officeDocument/2006/customXml" ds:itemID="{69DB9EA4-2541-4FE2-AEFA-3A4D832B40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e22651-9d95-44ca-857d-e30fc2a0d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Pakkumuse maksumus</vt:lpstr>
    </vt:vector>
  </TitlesOfParts>
  <Company>Omniva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Lužkov</dc:creator>
  <cp:lastModifiedBy>Helje Kruusmaa</cp:lastModifiedBy>
  <dcterms:created xsi:type="dcterms:W3CDTF">2022-10-17T07:38:33Z</dcterms:created>
  <dcterms:modified xsi:type="dcterms:W3CDTF">2025-11-21T14:16:10Z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0x0101003D096292C3BBAC44ADFB7699C654D0A7</vt:lpwstr>
  </property>
</Properties>
</file>